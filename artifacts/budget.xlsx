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Expens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<sst xmlns="http://schemas.openxmlformats.org/spreadsheetml/2006/main" count="126" uniqueCount="33">
  <si>
    <t xml:space="preserve">Month</t>
  </si>
  <si>
    <t xml:space="preserve">Compute</t>
  </si>
  <si>
    <t xml:space="preserve">Storage</t>
  </si>
  <si>
    <t xml:space="preserve">Network</t>
  </si>
  <si>
    <t xml:space="preserve">Support</t>
  </si>
  <si>
    <t xml:space="preserve">Total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</si>
  <si>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</si>
  <si>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</si>
  <si>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</si>
  <si>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</si>
  <si>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</si>
  <si>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</si>
  <si>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</si>
  <si>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</si>
  <si>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</si>
  <si>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</si>
  <si>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</si>
  <si>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</si>
  <si>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Date</t>
  </si>
  <si>
    <t xml:space="preserve">Category</t>
  </si>
  <si>
    <t xml:space="preserve">Vendor</t>
  </si>
  <si>
    <t xml:space="preserve">Amount</t>
  </si>
  <si>
    <t xml:space="preserve">Linkway</t>
  </si>
  <si>
    <t xml:space="preserve">Helpdesk Pro</t>
  </si>
  <si>
    <t xml:space="preserve">Vault Storage</t>
  </si>
  <si>
    <t xml:space="preserve">Northwind Cloud</t>
  </si>
  <si>
    <t xml:space="preserve">Atlas Compute</t>
  </si>
  <si>
    <t xml:space="preserve">Measure</t>
  </si>
  <si>
    <t xml:space="preserve">Value</t>
  </si>
  <si>
    <t xml:space="preserve">Annual total</t>
  </si>
  <si>
    <t xml:space="preserve">Average month</t>
  </si>
  <si>
    <t xml:space="preserve">Highest month</t>
  </si>
  <si>
    <t xml:space="preserve">Expenses logged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</si>
</sst>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mmmm\ d&quot;, &quot;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3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2" t="n">
        <v>4202</v>
      </c>
      <c r="C2" s="2" t="n">
        <v>1058</v>
      </c>
      <c r="D2" s="2" t="n">
        <v>671</v>
      </c>
      <c r="E2" s="2" t="n">
        <v>832</v>
      </c>
      <c r="F2" s="2" t="n">
        <f aca="false">SUM(B2:E2)</f>
        <v>6763</v>
      </c>
    </row>
    <row r="3" customFormat="false" ht="15" hidden="false" customHeight="false" outlineLevel="0" collapsed="false">
      <c r="A3" s="0" t="s">
        <v>7</v>
      </c>
      <c r="B3" s="2" t="n">
        <v>4264</v>
      </c>
      <c r="C3" s="2" t="n">
        <v>1190</v>
      </c>
      <c r="D3" s="2" t="n">
        <v>613.5</v>
      </c>
      <c r="E3" s="2" t="n">
        <v>940</v>
      </c>
      <c r="F3" s="2" t="n">
        <f aca="false">SUM(B3:E3)</f>
        <v>7007.5</v>
      </c>
    </row>
    <row r="4" customFormat="false" ht="15" hidden="false" customHeight="false" outlineLevel="0" collapsed="false">
      <c r="A4" s="0" t="s">
        <v>8</v>
      </c>
      <c r="B4" s="2" t="n">
        <v>4521</v>
      </c>
      <c r="C4" s="2" t="n">
        <v>1100</v>
      </c>
      <c r="D4" s="2" t="n">
        <v>738</v>
      </c>
      <c r="E4" s="2" t="n">
        <v>928</v>
      </c>
      <c r="F4" s="2" t="n">
        <f aca="false">SUM(B4:E4)</f>
        <v>7287</v>
      </c>
    </row>
    <row r="5" customFormat="false" ht="15" hidden="false" customHeight="false" outlineLevel="0" collapsed="false">
      <c r="A5" s="0" t="s">
        <v>9</v>
      </c>
      <c r="B5" s="2" t="n">
        <v>4507</v>
      </c>
      <c r="C5" s="2" t="n">
        <v>1141</v>
      </c>
      <c r="D5" s="2" t="n">
        <v>739.5</v>
      </c>
      <c r="E5" s="2" t="n">
        <v>1008</v>
      </c>
      <c r="F5" s="2" t="n">
        <f aca="false">SUM(B5:E5)</f>
        <v>7395.5</v>
      </c>
    </row>
    <row r="6" customFormat="false" ht="15" hidden="false" customHeight="false" outlineLevel="0" collapsed="false">
      <c r="A6" s="0" t="s">
        <v>10</v>
      </c>
      <c r="B6" s="2" t="n">
        <v>4641</v>
      </c>
      <c r="C6" s="2" t="n">
        <v>1213</v>
      </c>
      <c r="D6" s="2" t="n">
        <v>671</v>
      </c>
      <c r="E6" s="2" t="n">
        <v>1069</v>
      </c>
      <c r="F6" s="2" t="n">
        <f aca="false">SUM(B6:E6)</f>
        <v>7594</v>
      </c>
    </row>
    <row r="7" customFormat="false" ht="15" hidden="false" customHeight="false" outlineLevel="0" collapsed="false">
      <c r="A7" s="0" t="s">
        <v>11</v>
      </c>
      <c r="B7" s="2" t="n">
        <v>4858</v>
      </c>
      <c r="C7" s="2" t="n">
        <v>1200</v>
      </c>
      <c r="D7" s="2" t="n">
        <v>811.5</v>
      </c>
      <c r="E7" s="2" t="n">
        <v>986</v>
      </c>
      <c r="F7" s="2" t="n">
        <f aca="false">SUM(B7:E7)</f>
        <v>7855.5</v>
      </c>
    </row>
    <row r="8" customFormat="false" ht="15" hidden="false" customHeight="false" outlineLevel="0" collapsed="false">
      <c r="A8" s="0" t="s">
        <v>12</v>
      </c>
      <c r="B8" s="2" t="n">
        <v>4933</v>
      </c>
      <c r="C8" s="2" t="n">
        <v>1378</v>
      </c>
      <c r="D8" s="2" t="n">
        <v>836</v>
      </c>
      <c r="E8" s="2" t="n">
        <v>997</v>
      </c>
      <c r="F8" s="2" t="n">
        <f aca="false">SUM(B8:E8)</f>
        <v>8144</v>
      </c>
    </row>
    <row r="9" customFormat="false" ht="15" hidden="false" customHeight="false" outlineLevel="0" collapsed="false">
      <c r="A9" s="0" t="s">
        <v>13</v>
      </c>
      <c r="B9" s="2" t="n">
        <v>5149</v>
      </c>
      <c r="C9" s="2" t="n">
        <v>1400</v>
      </c>
      <c r="D9" s="2" t="n">
        <v>807.5</v>
      </c>
      <c r="E9" s="2" t="n">
        <v>1021</v>
      </c>
      <c r="F9" s="2" t="n">
        <f aca="false">SUM(B9:E9)</f>
        <v>8377.5</v>
      </c>
    </row>
    <row r="10" customFormat="false" ht="15" hidden="false" customHeight="false" outlineLevel="0" collapsed="false">
      <c r="A10" s="0" t="s">
        <v>14</v>
      </c>
      <c r="B10" s="2" t="n">
        <v>5184</v>
      </c>
      <c r="C10" s="2" t="n">
        <v>1295</v>
      </c>
      <c r="D10" s="2" t="n">
        <v>868</v>
      </c>
      <c r="E10" s="2" t="n">
        <v>1070</v>
      </c>
      <c r="F10" s="2" t="n">
        <f aca="false">SUM(B10:E10)</f>
        <v>8417</v>
      </c>
    </row>
    <row r="11" customFormat="false" ht="15" hidden="false" customHeight="false" outlineLevel="0" collapsed="false">
      <c r="A11" s="0" t="s">
        <v>15</v>
      </c>
      <c r="B11" s="2" t="n">
        <v>5328</v>
      </c>
      <c r="C11" s="2" t="n">
        <v>1424</v>
      </c>
      <c r="D11" s="2" t="n">
        <v>781.5</v>
      </c>
      <c r="E11" s="2" t="n">
        <v>1201</v>
      </c>
      <c r="F11" s="2" t="n">
        <f aca="false">SUM(B11:E11)</f>
        <v>8734.5</v>
      </c>
    </row>
    <row r="12" customFormat="false" ht="15" hidden="false" customHeight="false" outlineLevel="0" collapsed="false">
      <c r="A12" s="0" t="s">
        <v>16</v>
      </c>
      <c r="B12" s="2" t="n">
        <v>5410</v>
      </c>
      <c r="C12" s="2" t="n">
        <v>1496</v>
      </c>
      <c r="D12" s="2" t="n">
        <v>843</v>
      </c>
      <c r="E12" s="2" t="n">
        <v>1233</v>
      </c>
      <c r="F12" s="2" t="n">
        <f aca="false">SUM(B12:E12)</f>
        <v>8982</v>
      </c>
    </row>
    <row r="13" customFormat="false" ht="15" hidden="false" customHeight="false" outlineLevel="0" collapsed="false">
      <c r="A13" s="0" t="s">
        <v>17</v>
      </c>
      <c r="B13" s="2" t="n">
        <v>5552</v>
      </c>
      <c r="C13" s="2" t="n">
        <v>1409</v>
      </c>
      <c r="D13" s="2" t="n">
        <v>932.5</v>
      </c>
      <c r="E13" s="2" t="n">
        <v>1263</v>
      </c>
      <c r="F13" s="2" t="n">
        <f aca="false">SUM(B13:E13)</f>
        <v>9156.5</v>
      </c>
    </row>
    <row r="14" customFormat="false" ht="15" hidden="false" customHeight="false" outlineLevel="0" collapsed="false">
      <c r="A14" s="1" t="s">
        <v>5</v>
      </c>
      <c r="B14" s="3" t="n">
        <f aca="false">SUM(B2:B13)</f>
        <v>58549</v>
      </c>
      <c r="C14" s="3" t="n">
        <f aca="false">SUM(C2:C13)</f>
        <v>15304</v>
      </c>
      <c r="D14" s="3" t="n">
        <f aca="false">SUM(D2:D13)</f>
        <v>9313</v>
      </c>
      <c r="E14" s="3" t="n">
        <f aca="false">SUM(E2:E13)</f>
        <v>12548</v>
      </c>
      <c r="F14" s="3" t="n">
        <f aca="false">SUM(F2:F13)</f>
        <v>95714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</row>
    <row r="2" customFormat="false" ht="15" hidden="false" customHeight="false" outlineLevel="0" collapsed="false">
      <c r="A2" s="4" t="n">
        <v>46025</v>
      </c>
      <c r="B2" s="0" t="s">
        <v>3</v>
      </c>
      <c r="C2" s="0" t="s">
        <v>22</v>
      </c>
      <c r="D2" s="2" t="n">
        <v>1120.76</v>
      </c>
    </row>
    <row r="3" customFormat="false" ht="15" hidden="false" customHeight="false" outlineLevel="0" collapsed="false">
      <c r="A3" s="4" t="n">
        <v>46029</v>
      </c>
      <c r="B3" s="0" t="s">
        <v>4</v>
      </c>
      <c r="C3" s="0" t="s">
        <v>23</v>
      </c>
      <c r="D3" s="2" t="n">
        <v>1773.01</v>
      </c>
    </row>
    <row r="4" customFormat="false" ht="15" hidden="false" customHeight="false" outlineLevel="0" collapsed="false">
      <c r="A4" s="4" t="n">
        <v>46037</v>
      </c>
      <c r="B4" s="0" t="s">
        <v>3</v>
      </c>
      <c r="C4" s="0" t="s">
        <v>22</v>
      </c>
      <c r="D4" s="2" t="n">
        <v>335.77</v>
      </c>
    </row>
    <row r="5" customFormat="false" ht="15" hidden="false" customHeight="false" outlineLevel="0" collapsed="false">
      <c r="A5" s="4" t="n">
        <v>46038</v>
      </c>
      <c r="B5" s="0" t="s">
        <v>2</v>
      </c>
      <c r="C5" s="0" t="s">
        <v>24</v>
      </c>
      <c r="D5" s="2" t="n">
        <v>502.43</v>
      </c>
    </row>
    <row r="6" customFormat="false" ht="15" hidden="false" customHeight="false" outlineLevel="0" collapsed="false">
      <c r="A6" s="4" t="n">
        <v>46041</v>
      </c>
      <c r="B6" s="0" t="s">
        <v>1</v>
      </c>
      <c r="C6" s="0" t="s">
        <v>25</v>
      </c>
      <c r="D6" s="2" t="n">
        <v>984.45</v>
      </c>
    </row>
    <row r="7" customFormat="false" ht="15" hidden="false" customHeight="false" outlineLevel="0" collapsed="false">
      <c r="A7" s="4" t="n">
        <v>46048</v>
      </c>
      <c r="B7" s="0" t="s">
        <v>1</v>
      </c>
      <c r="C7" s="0" t="s">
        <v>26</v>
      </c>
      <c r="D7" s="2" t="n">
        <v>871.14</v>
      </c>
    </row>
    <row r="8" customFormat="false" ht="15" hidden="false" customHeight="false" outlineLevel="0" collapsed="false">
      <c r="A8" s="4" t="n">
        <v>46055</v>
      </c>
      <c r="B8" s="0" t="s">
        <v>4</v>
      </c>
      <c r="C8" s="0" t="s">
        <v>26</v>
      </c>
      <c r="D8" s="2" t="n">
        <v>1178.95</v>
      </c>
    </row>
    <row r="9" customFormat="false" ht="15" hidden="false" customHeight="false" outlineLevel="0" collapsed="false">
      <c r="A9" s="4" t="n">
        <v>46059</v>
      </c>
      <c r="B9" s="0" t="s">
        <v>4</v>
      </c>
      <c r="C9" s="0" t="s">
        <v>26</v>
      </c>
      <c r="D9" s="2" t="n">
        <v>746.89</v>
      </c>
    </row>
    <row r="10" customFormat="false" ht="15" hidden="false" customHeight="false" outlineLevel="0" collapsed="false">
      <c r="A10" s="4" t="n">
        <v>46059</v>
      </c>
      <c r="B10" s="0" t="s">
        <v>2</v>
      </c>
      <c r="C10" s="0" t="s">
        <v>24</v>
      </c>
      <c r="D10" s="2" t="n">
        <v>448.24</v>
      </c>
    </row>
    <row r="11" customFormat="false" ht="15" hidden="false" customHeight="false" outlineLevel="0" collapsed="false">
      <c r="A11" s="4" t="n">
        <v>46061</v>
      </c>
      <c r="B11" s="0" t="s">
        <v>3</v>
      </c>
      <c r="C11" s="0" t="s">
        <v>22</v>
      </c>
      <c r="D11" s="2" t="n">
        <v>439.25</v>
      </c>
    </row>
    <row r="12" customFormat="false" ht="15" hidden="false" customHeight="false" outlineLevel="0" collapsed="false">
      <c r="A12" s="4" t="n">
        <v>46066</v>
      </c>
      <c r="B12" s="0" t="s">
        <v>1</v>
      </c>
      <c r="C12" s="0" t="s">
        <v>25</v>
      </c>
      <c r="D12" s="2" t="n">
        <v>881.34</v>
      </c>
    </row>
    <row r="13" customFormat="false" ht="15" hidden="false" customHeight="false" outlineLevel="0" collapsed="false">
      <c r="A13" s="4" t="n">
        <v>46076</v>
      </c>
      <c r="B13" s="0" t="s">
        <v>3</v>
      </c>
      <c r="C13" s="0" t="s">
        <v>22</v>
      </c>
      <c r="D13" s="2" t="n">
        <v>952.38</v>
      </c>
    </row>
    <row r="14" customFormat="false" ht="15" hidden="false" customHeight="false" outlineLevel="0" collapsed="false">
      <c r="A14" s="4" t="n">
        <v>46080</v>
      </c>
      <c r="B14" s="0" t="s">
        <v>4</v>
      </c>
      <c r="C14" s="0" t="s">
        <v>23</v>
      </c>
      <c r="D14" s="2" t="n">
        <v>1702.64</v>
      </c>
    </row>
    <row r="15" customFormat="false" ht="15" hidden="false" customHeight="false" outlineLevel="0" collapsed="false">
      <c r="A15" s="4" t="n">
        <v>46082</v>
      </c>
      <c r="B15" s="0" t="s">
        <v>2</v>
      </c>
      <c r="C15" s="0" t="s">
        <v>24</v>
      </c>
      <c r="D15" s="2" t="n">
        <v>1079.83</v>
      </c>
    </row>
    <row r="16" customFormat="false" ht="15" hidden="false" customHeight="false" outlineLevel="0" collapsed="false">
      <c r="A16" s="4" t="n">
        <v>46085</v>
      </c>
      <c r="B16" s="0" t="s">
        <v>4</v>
      </c>
      <c r="C16" s="0" t="s">
        <v>26</v>
      </c>
      <c r="D16" s="2" t="n">
        <v>1097.28</v>
      </c>
    </row>
    <row r="17" customFormat="false" ht="15" hidden="false" customHeight="false" outlineLevel="0" collapsed="false">
      <c r="A17" s="4" t="n">
        <v>46085</v>
      </c>
      <c r="B17" s="0" t="s">
        <v>1</v>
      </c>
      <c r="C17" s="0" t="s">
        <v>26</v>
      </c>
      <c r="D17" s="2" t="n">
        <v>1343.02</v>
      </c>
    </row>
    <row r="18" customFormat="false" ht="15" hidden="false" customHeight="false" outlineLevel="0" collapsed="false">
      <c r="A18" s="4" t="n">
        <v>46095</v>
      </c>
      <c r="B18" s="0" t="s">
        <v>1</v>
      </c>
      <c r="C18" s="0" t="s">
        <v>26</v>
      </c>
      <c r="D18" s="2" t="n">
        <v>1113.27</v>
      </c>
    </row>
    <row r="19" customFormat="false" ht="15" hidden="false" customHeight="false" outlineLevel="0" collapsed="false">
      <c r="A19" s="4" t="n">
        <v>46098</v>
      </c>
      <c r="B19" s="0" t="s">
        <v>4</v>
      </c>
      <c r="C19" s="0" t="s">
        <v>23</v>
      </c>
      <c r="D19" s="2" t="n">
        <v>401.18</v>
      </c>
    </row>
    <row r="20" customFormat="false" ht="15" hidden="false" customHeight="false" outlineLevel="0" collapsed="false">
      <c r="A20" s="4" t="n">
        <v>46099</v>
      </c>
      <c r="B20" s="0" t="s">
        <v>3</v>
      </c>
      <c r="C20" s="0" t="s">
        <v>22</v>
      </c>
      <c r="D20" s="2" t="n">
        <v>77.66</v>
      </c>
    </row>
    <row r="21" customFormat="false" ht="15" hidden="false" customHeight="false" outlineLevel="0" collapsed="false">
      <c r="A21" s="4" t="n">
        <v>46101</v>
      </c>
      <c r="B21" s="0" t="s">
        <v>4</v>
      </c>
      <c r="C21" s="0" t="s">
        <v>26</v>
      </c>
      <c r="D21" s="2" t="n">
        <v>1196.79</v>
      </c>
    </row>
    <row r="22" customFormat="false" ht="15" hidden="false" customHeight="false" outlineLevel="0" collapsed="false">
      <c r="A22" s="4" t="n">
        <v>46104</v>
      </c>
      <c r="B22" s="0" t="s">
        <v>3</v>
      </c>
      <c r="C22" s="0" t="s">
        <v>22</v>
      </c>
      <c r="D22" s="2" t="n">
        <v>843.69</v>
      </c>
    </row>
    <row r="23" customFormat="false" ht="15" hidden="false" customHeight="false" outlineLevel="0" collapsed="false">
      <c r="A23" s="4" t="n">
        <v>46104</v>
      </c>
      <c r="B23" s="0" t="s">
        <v>3</v>
      </c>
      <c r="C23" s="0" t="s">
        <v>22</v>
      </c>
      <c r="D23" s="2" t="n">
        <v>1374.33</v>
      </c>
    </row>
    <row r="24" customFormat="false" ht="15" hidden="false" customHeight="false" outlineLevel="0" collapsed="false">
      <c r="A24" s="4" t="n">
        <v>46106</v>
      </c>
      <c r="B24" s="0" t="s">
        <v>4</v>
      </c>
      <c r="C24" s="0" t="s">
        <v>26</v>
      </c>
      <c r="D24" s="2" t="n">
        <v>307.49</v>
      </c>
    </row>
    <row r="25" customFormat="false" ht="15" hidden="false" customHeight="false" outlineLevel="0" collapsed="false">
      <c r="A25" s="4" t="n">
        <v>46108</v>
      </c>
      <c r="B25" s="0" t="s">
        <v>3</v>
      </c>
      <c r="C25" s="0" t="s">
        <v>22</v>
      </c>
      <c r="D25" s="2" t="n">
        <v>1560.61</v>
      </c>
    </row>
    <row r="26" customFormat="false" ht="15" hidden="false" customHeight="false" outlineLevel="0" collapsed="false">
      <c r="A26" s="4" t="n">
        <v>46113</v>
      </c>
      <c r="B26" s="0" t="s">
        <v>2</v>
      </c>
      <c r="C26" s="0" t="s">
        <v>24</v>
      </c>
      <c r="D26" s="2" t="n">
        <v>414.49</v>
      </c>
    </row>
    <row r="27" customFormat="false" ht="15" hidden="false" customHeight="false" outlineLevel="0" collapsed="false">
      <c r="A27" s="4" t="n">
        <v>46115</v>
      </c>
      <c r="B27" s="0" t="s">
        <v>2</v>
      </c>
      <c r="C27" s="0" t="s">
        <v>24</v>
      </c>
      <c r="D27" s="2" t="n">
        <v>964.35</v>
      </c>
    </row>
    <row r="28" customFormat="false" ht="15" hidden="false" customHeight="false" outlineLevel="0" collapsed="false">
      <c r="A28" s="4" t="n">
        <v>46119</v>
      </c>
      <c r="B28" s="0" t="s">
        <v>4</v>
      </c>
      <c r="C28" s="0" t="s">
        <v>26</v>
      </c>
      <c r="D28" s="2" t="n">
        <v>665.79</v>
      </c>
    </row>
    <row r="29" customFormat="false" ht="15" hidden="false" customHeight="false" outlineLevel="0" collapsed="false">
      <c r="A29" s="4" t="n">
        <v>46125</v>
      </c>
      <c r="B29" s="0" t="s">
        <v>2</v>
      </c>
      <c r="C29" s="0" t="s">
        <v>24</v>
      </c>
      <c r="D29" s="2" t="n">
        <v>1653.6</v>
      </c>
    </row>
    <row r="30" customFormat="false" ht="15" hidden="false" customHeight="false" outlineLevel="0" collapsed="false">
      <c r="A30" s="4" t="n">
        <v>46132</v>
      </c>
      <c r="B30" s="0" t="s">
        <v>3</v>
      </c>
      <c r="C30" s="0" t="s">
        <v>22</v>
      </c>
      <c r="D30" s="2" t="n">
        <v>1458.7</v>
      </c>
    </row>
    <row r="31" customFormat="false" ht="15" hidden="false" customHeight="false" outlineLevel="0" collapsed="false">
      <c r="A31" s="4" t="n">
        <v>46154</v>
      </c>
      <c r="B31" s="0" t="s">
        <v>2</v>
      </c>
      <c r="C31" s="0" t="s">
        <v>24</v>
      </c>
      <c r="D31" s="2" t="n">
        <v>874.51</v>
      </c>
    </row>
    <row r="32" customFormat="false" ht="15" hidden="false" customHeight="false" outlineLevel="0" collapsed="false">
      <c r="A32" s="4" t="n">
        <v>46165</v>
      </c>
      <c r="B32" s="0" t="s">
        <v>4</v>
      </c>
      <c r="C32" s="0" t="s">
        <v>26</v>
      </c>
      <c r="D32" s="2" t="n">
        <v>1601.19</v>
      </c>
    </row>
    <row r="33" customFormat="false" ht="15" hidden="false" customHeight="false" outlineLevel="0" collapsed="false">
      <c r="A33" s="4" t="n">
        <v>46177</v>
      </c>
      <c r="B33" s="0" t="s">
        <v>2</v>
      </c>
      <c r="C33" s="0" t="s">
        <v>24</v>
      </c>
      <c r="D33" s="2" t="n">
        <v>1033.29</v>
      </c>
    </row>
    <row r="34" customFormat="false" ht="15" hidden="false" customHeight="false" outlineLevel="0" collapsed="false">
      <c r="A34" s="4" t="n">
        <v>46180</v>
      </c>
      <c r="B34" s="0" t="s">
        <v>2</v>
      </c>
      <c r="C34" s="0" t="s">
        <v>24</v>
      </c>
      <c r="D34" s="2" t="n">
        <v>1138.36</v>
      </c>
    </row>
    <row r="35" customFormat="false" ht="15" hidden="false" customHeight="false" outlineLevel="0" collapsed="false">
      <c r="A35" s="4" t="n">
        <v>46188</v>
      </c>
      <c r="B35" s="0" t="s">
        <v>2</v>
      </c>
      <c r="C35" s="0" t="s">
        <v>24</v>
      </c>
      <c r="D35" s="2" t="n">
        <v>1720.8</v>
      </c>
    </row>
    <row r="36" customFormat="false" ht="15" hidden="false" customHeight="false" outlineLevel="0" collapsed="false">
      <c r="A36" s="4" t="n">
        <v>46196</v>
      </c>
      <c r="B36" s="0" t="s">
        <v>3</v>
      </c>
      <c r="C36" s="0" t="s">
        <v>22</v>
      </c>
      <c r="D36" s="2" t="n">
        <v>1086.09</v>
      </c>
    </row>
    <row r="37" customFormat="false" ht="15" hidden="false" customHeight="false" outlineLevel="0" collapsed="false">
      <c r="A37" s="4" t="n">
        <v>46198</v>
      </c>
      <c r="B37" s="0" t="s">
        <v>2</v>
      </c>
      <c r="C37" s="0" t="s">
        <v>24</v>
      </c>
      <c r="D37" s="2" t="n">
        <v>977.36</v>
      </c>
    </row>
    <row r="38" customFormat="false" ht="15" hidden="false" customHeight="false" outlineLevel="0" collapsed="false">
      <c r="A38" s="4" t="n">
        <v>46205</v>
      </c>
      <c r="B38" s="0" t="s">
        <v>4</v>
      </c>
      <c r="C38" s="0" t="s">
        <v>23</v>
      </c>
      <c r="D38" s="2" t="n">
        <v>1385.64</v>
      </c>
    </row>
    <row r="39" customFormat="false" ht="15" hidden="false" customHeight="false" outlineLevel="0" collapsed="false">
      <c r="A39" s="4" t="n">
        <v>46215</v>
      </c>
      <c r="B39" s="0" t="s">
        <v>3</v>
      </c>
      <c r="C39" s="0" t="s">
        <v>22</v>
      </c>
      <c r="D39" s="2" t="n">
        <v>1725.61</v>
      </c>
    </row>
    <row r="40" customFormat="false" ht="15" hidden="false" customHeight="false" outlineLevel="0" collapsed="false">
      <c r="A40" s="4" t="n">
        <v>46216</v>
      </c>
      <c r="B40" s="0" t="s">
        <v>4</v>
      </c>
      <c r="C40" s="0" t="s">
        <v>26</v>
      </c>
      <c r="D40" s="2" t="n">
        <v>222.23</v>
      </c>
    </row>
    <row r="41" customFormat="false" ht="15" hidden="false" customHeight="false" outlineLevel="0" collapsed="false">
      <c r="A41" s="4" t="n">
        <v>46229</v>
      </c>
      <c r="B41" s="0" t="s">
        <v>2</v>
      </c>
      <c r="C41" s="0" t="s">
        <v>24</v>
      </c>
      <c r="D41" s="2" t="n">
        <v>192.68</v>
      </c>
    </row>
    <row r="42" customFormat="false" ht="15" hidden="false" customHeight="false" outlineLevel="0" collapsed="false">
      <c r="A42" s="4" t="n">
        <v>46236</v>
      </c>
      <c r="B42" s="0" t="s">
        <v>1</v>
      </c>
      <c r="C42" s="0" t="s">
        <v>25</v>
      </c>
      <c r="D42" s="2" t="n">
        <v>1392.09</v>
      </c>
    </row>
    <row r="43" customFormat="false" ht="15" hidden="false" customHeight="false" outlineLevel="0" collapsed="false">
      <c r="A43" s="4" t="n">
        <v>46244</v>
      </c>
      <c r="B43" s="0" t="s">
        <v>3</v>
      </c>
      <c r="C43" s="0" t="s">
        <v>22</v>
      </c>
      <c r="D43" s="2" t="n">
        <v>247.8</v>
      </c>
    </row>
    <row r="44" customFormat="false" ht="15" hidden="false" customHeight="false" outlineLevel="0" collapsed="false">
      <c r="A44" s="4" t="n">
        <v>46246</v>
      </c>
      <c r="B44" s="0" t="s">
        <v>4</v>
      </c>
      <c r="C44" s="0" t="s">
        <v>26</v>
      </c>
      <c r="D44" s="2" t="n">
        <v>477.23</v>
      </c>
    </row>
    <row r="45" customFormat="false" ht="15" hidden="false" customHeight="false" outlineLevel="0" collapsed="false">
      <c r="A45" s="4" t="n">
        <v>46247</v>
      </c>
      <c r="B45" s="0" t="s">
        <v>4</v>
      </c>
      <c r="C45" s="0" t="s">
        <v>23</v>
      </c>
      <c r="D45" s="2" t="n">
        <v>1315.65</v>
      </c>
    </row>
    <row r="46" customFormat="false" ht="15" hidden="false" customHeight="false" outlineLevel="0" collapsed="false">
      <c r="A46" s="4" t="n">
        <v>46249</v>
      </c>
      <c r="B46" s="0" t="s">
        <v>1</v>
      </c>
      <c r="C46" s="0" t="s">
        <v>26</v>
      </c>
      <c r="D46" s="2" t="n">
        <v>891.55</v>
      </c>
    </row>
    <row r="47" customFormat="false" ht="15" hidden="false" customHeight="false" outlineLevel="0" collapsed="false">
      <c r="A47" s="4" t="n">
        <v>46255</v>
      </c>
      <c r="B47" s="0" t="s">
        <v>1</v>
      </c>
      <c r="C47" s="0" t="s">
        <v>26</v>
      </c>
      <c r="D47" s="2" t="n">
        <v>1447.37</v>
      </c>
    </row>
    <row r="48" customFormat="false" ht="15" hidden="false" customHeight="false" outlineLevel="0" collapsed="false">
      <c r="A48" s="4" t="n">
        <v>46256</v>
      </c>
      <c r="B48" s="0" t="s">
        <v>2</v>
      </c>
      <c r="C48" s="0" t="s">
        <v>24</v>
      </c>
      <c r="D48" s="2" t="n">
        <v>1407.92</v>
      </c>
    </row>
    <row r="49" customFormat="false" ht="15" hidden="false" customHeight="false" outlineLevel="0" collapsed="false">
      <c r="A49" s="4" t="n">
        <v>46289</v>
      </c>
      <c r="B49" s="0" t="s">
        <v>1</v>
      </c>
      <c r="C49" s="0" t="s">
        <v>25</v>
      </c>
      <c r="D49" s="2" t="n">
        <v>803.5</v>
      </c>
    </row>
    <row r="50" customFormat="false" ht="15" hidden="false" customHeight="false" outlineLevel="0" collapsed="false">
      <c r="A50" s="1" t="s">
        <v>5</v>
      </c>
      <c r="B50" s="1"/>
      <c r="C50" s="1"/>
      <c r="D50" s="3" t="n">
        <f aca="false">SUM(D2:D49)</f>
        <v>47430.2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27</v>
      </c>
      <c r="B1" s="1" t="s">
        <v>28</v>
      </c>
    </row>
    <row r="2" customFormat="false" ht="15" hidden="false" customHeight="false" outlineLevel="0" collapsed="false">
      <c r="A2" s="0" t="s">
        <v>29</v>
      </c>
      <c r="B2" s="2" t="n">
        <f aca="false">Budget!F14</f>
        <v>95714</v>
      </c>
    </row>
    <row r="3" customFormat="false" ht="15" hidden="false" customHeight="false" outlineLevel="0" collapsed="false">
      <c r="A3" s="0" t="s">
        <v>30</v>
      </c>
      <c r="B3" s="2" t="n">
        <f aca="false">AVERAGE(Budget!F2:F13)</f>
        <v>7976.16666666667</v>
      </c>
    </row>
    <row r="4" customFormat="false" ht="15" hidden="false" customHeight="false" outlineLevel="0" collapsed="false">
      <c r="A4" s="0" t="s">
        <v>31</v>
      </c>
      <c r="B4" s="2" t="n">
        <f aca="false">MAX(Budget!F2:F13)</f>
        <v>9156.5</v>
      </c>
    </row>
    <row r="5" customFormat="false" ht="15" hidden="false" customHeight="false" outlineLevel="0" collapsed="false">
      <c r="A5" s="0" t="s">
        <v>32</v>
      </c>
      <c r="B5" s="2" t="n">
        <f aca="false">Expenses!D50</f>
        <v>47430.2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2026-10-06T21:15:42Z</dcterms:created>
  <dc:creator>openpyxl</dc:creator>
  <dc:description/>
  <dc:language>en-US</dc:language>
  <cp:lastModifiedBy/>
  <dcterms:modified xsi:type="dcterms:W3CDTF">2026-10-06T21:15:42Z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